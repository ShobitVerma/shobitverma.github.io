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M" sheetId="1" state="visible" r:id="rId1"/>
  </sheets>
  <definedNames>
    <definedName name="_xlnm.Print_Titles" localSheetId="0">'Complete BOM'!$1:$3</definedName>
    <definedName name="_xlnm.Print_Area" localSheetId="0">'Complete BOM'!$A$1:$J$38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7D78"/>
      <sz val="14"/>
    </font>
    <font>
      <name val="Arial"/>
      <color rgb="00173A3B"/>
      <sz val="10"/>
    </font>
    <font>
      <name val="Arial"/>
      <color rgb="00007D78"/>
      <sz val="10"/>
      <u val="single"/>
    </font>
    <font>
      <name val="Arial"/>
      <i val="1"/>
      <color rgb="00526B6B"/>
      <sz val="10"/>
    </font>
    <font>
      <name val="Arial"/>
      <b val="1"/>
      <color rgb="00FFFFFF"/>
      <sz val="10"/>
    </font>
    <font>
      <name val="Arial"/>
      <b val="1"/>
      <color rgb="00007D78"/>
      <sz val="10"/>
    </font>
    <font>
      <name val="Arial"/>
      <i val="1"/>
      <color rgb="00526B6B"/>
      <sz val="9"/>
    </font>
  </fonts>
  <fills count="3">
    <fill>
      <patternFill/>
    </fill>
    <fill>
      <patternFill patternType="gray125"/>
    </fill>
    <fill>
      <patternFill patternType="solid">
        <fgColor rgb="00007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4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BOM</author>
  </authors>
  <commentList>
    <comment ref="I4" authorId="0" shapeId="0">
      <text>
        <t>Additional original supplier link:
https://www.amazon.in/Thickness-Internal-Toughness-Hardness-Suitable/dp/B0BH4DS3S2?th=1</t>
      </text>
    </comment>
    <comment ref="I8" authorId="0" shapeId="0">
      <text>
        <t>Additional original supplier link:
https://www.amazon.in/Flexible-Filament-TPE-83A-Printing-Printers/dp/B0D6Z1G1K8/</t>
      </text>
    </comment>
  </commentList>
</comments>
</file>

<file path=xl/tables/table1.xml><?xml version="1.0" encoding="utf-8"?>
<table xmlns="http://schemas.openxmlformats.org/spreadsheetml/2006/main" id="1" name="CompleteJoystickBOM" displayName="CompleteJoystickBOM" ref="A3:J35" headerRowCount="1">
  <autoFilter ref="A3:J35"/>
  <tableColumns count="10">
    <tableColumn id="1" name="No."/>
    <tableColumn id="2" name="Category"/>
    <tableColumn id="3" name="Component"/>
    <tableColumn id="4" name="Specification / material"/>
    <tableColumn id="5" name="Qty"/>
    <tableColumn id="6" name="Unit price"/>
    <tableColumn id="7" name="Line total"/>
    <tableColumn id="8" name="Selection"/>
    <tableColumn id="9" name="Supplier"/>
    <tableColumn id="10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zn.to/4dG37Xw" TargetMode="External" Id="rId1" /><Relationship Type="http://schemas.openxmlformats.org/officeDocument/2006/relationships/hyperlink" Target="https://www.industrybuying.com/plates-as-one-IND.PLA.221163775/" TargetMode="External" Id="rId2" /><Relationship Type="http://schemas.openxmlformats.org/officeDocument/2006/relationships/hyperlink" Target="https://amzn.to/4cNSK2H" TargetMode="External" Id="rId3" /><Relationship Type="http://schemas.openxmlformats.org/officeDocument/2006/relationships/hyperlink" Target="https://amzn.to/47c19fh" TargetMode="External" Id="rId4" /><Relationship Type="http://schemas.openxmlformats.org/officeDocument/2006/relationships/hyperlink" Target="https://amzn.to/4g5Bwkd" TargetMode="External" Id="rId5" /><Relationship Type="http://schemas.openxmlformats.org/officeDocument/2006/relationships/hyperlink" Target="https://www.amazon.in/Thickness-Polyacetal-Excellent-Resistance-Suitable/dp/B0B7JTNKYT" TargetMode="External" Id="rId6" /><Relationship Type="http://schemas.openxmlformats.org/officeDocument/2006/relationships/hyperlink" Target="https://www.amazon.in/Thickness-Polyethylene-Lightweight-Strength-Suitable/dp/B0BFJFRMK6" TargetMode="External" Id="rId7" /><Relationship Type="http://schemas.openxmlformats.org/officeDocument/2006/relationships/hyperlink" Target="https://www.amazon.in/Thickness-Polypropylene-Lightweight-Strength-Suitable" TargetMode="External" Id="rId8" /><Relationship Type="http://schemas.openxmlformats.org/officeDocument/2006/relationships/hyperlink" Target="https://www.amazon.in/Thickness-Ethylene-Temperature-Resistant-resistant/dp/B0B61ST3KC" TargetMode="External" Id="rId9" /><Relationship Type="http://schemas.openxmlformats.org/officeDocument/2006/relationships/hyperlink" Target="https://www.amazon.in/Thickness-Lubricating-Resistant-Resistance-Suitable/dp/B0B7KBQ3BC" TargetMode="External" Id="rId10" /><Relationship Type="http://schemas.openxmlformats.org/officeDocument/2006/relationships/hyperlink" Target="https://www.amazon.in/Thickness-Polyacetal-Excellent-Resistance-Suitable/dp/B0B7JSR91P" TargetMode="External" Id="rId11" /><Relationship Type="http://schemas.openxmlformats.org/officeDocument/2006/relationships/hyperlink" Target="https://www.amazon.in/Thickness-Polypropylene-Lightweight-Strength-Suitable/dp/B0BFLBYQ5H" TargetMode="External" Id="rId12" /><Relationship Type="http://schemas.openxmlformats.org/officeDocument/2006/relationships/hyperlink" Target="https://www.amazon.in/Thickness-Ethylene-Temperature-Resistant-resistant/dp/B0B61S8L1B" TargetMode="External" Id="rId13" /><Relationship Type="http://schemas.openxmlformats.org/officeDocument/2006/relationships/hyperlink" Target="https://www.amazon.in/Thickness-Internal-Toughness-Hardness-Suitable/dp/B0BH4FK41X/" TargetMode="External" Id="rId14" /><Relationship Type="http://schemas.openxmlformats.org/officeDocument/2006/relationships/hyperlink" Target="https://www.amazon.in/Tesseract-1-75mm-Plus-Filament-Spool/dp/B079GXPK5V/" TargetMode="External" Id="rId15" /><Relationship Type="http://schemas.openxmlformats.org/officeDocument/2006/relationships/hyperlink" Target="https://www.amazon.in/FiLAMONT-Silk-Filament-1-75mm-Printer/dp/B09HMM14WR?th=1" TargetMode="External" Id="rId16" /><Relationship Type="http://schemas.openxmlformats.org/officeDocument/2006/relationships/hyperlink" Target="https://www.amazon.in/WOL-3D-Filaments-White/dp/B06Y35GHT8/" TargetMode="External" Id="rId17" /><Relationship Type="http://schemas.openxmlformats.org/officeDocument/2006/relationships/hyperlink" Target="https://www.amazon.in/eSUN-Printer-Filament-Dimensional-Accuracy/dp/B07NKR5VWJ/" TargetMode="External" Id="rId18" /><Relationship Type="http://schemas.openxmlformats.org/officeDocument/2006/relationships/hyperlink" Target="https://www.amazon.in/Dreampolymers-Premium-TPU-Filament-1-75mm/dp/B0D2TTB731/" TargetMode="External" Id="rId19" /><Relationship Type="http://schemas.openxmlformats.org/officeDocument/2006/relationships/table" Target="/xl/tables/table1.xml" Id="rId2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zoomScale="80" zoomScaleNormal="8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3" customWidth="1" min="3" max="3"/>
    <col width="28" customWidth="1" min="4" max="4"/>
    <col width="7" customWidth="1" min="5" max="5"/>
    <col width="12" customWidth="1" min="6" max="6"/>
    <col width="12" customWidth="1" min="7" max="7"/>
    <col width="13" customWidth="1" min="8" max="8"/>
    <col width="12" customWidth="1" min="9" max="9"/>
    <col width="45" customWidth="1" min="10" max="10"/>
  </cols>
  <sheetData>
    <row r="1" ht="27" customHeight="1">
      <c r="A1" s="1" t="inlineStr">
        <is>
          <t>Stewart Gough Potentiometer-Based Joystick - Complete Bill of Materials</t>
        </is>
      </c>
    </row>
    <row r="3" ht="30" customHeight="1">
      <c r="A3" s="2" t="inlineStr">
        <is>
          <t>No.</t>
        </is>
      </c>
      <c r="B3" s="2" t="inlineStr">
        <is>
          <t>Category</t>
        </is>
      </c>
      <c r="C3" s="2" t="inlineStr">
        <is>
          <t>Component</t>
        </is>
      </c>
      <c r="D3" s="2" t="inlineStr">
        <is>
          <t>Specification / material</t>
        </is>
      </c>
      <c r="E3" s="2" t="inlineStr">
        <is>
          <t>Qty</t>
        </is>
      </c>
      <c r="F3" s="2" t="inlineStr">
        <is>
          <t>Unit price</t>
        </is>
      </c>
      <c r="G3" s="2" t="inlineStr">
        <is>
          <t>Line total</t>
        </is>
      </c>
      <c r="H3" s="2" t="inlineStr">
        <is>
          <t>Selection</t>
        </is>
      </c>
      <c r="I3" s="2" t="inlineStr">
        <is>
          <t>Supplier</t>
        </is>
      </c>
      <c r="J3" s="2" t="inlineStr">
        <is>
          <t>Notes</t>
        </is>
      </c>
    </row>
    <row r="4" ht="29" customHeight="1">
      <c r="A4" s="3" t="n">
        <v>1</v>
      </c>
      <c r="B4" s="3" t="inlineStr">
        <is>
          <t>Mechanical</t>
        </is>
      </c>
      <c r="C4" s="3" t="inlineStr">
        <is>
          <t>300x300mmx8mm sheet</t>
        </is>
      </c>
      <c r="D4" s="3" t="inlineStr">
        <is>
          <t>Nylon</t>
        </is>
      </c>
      <c r="E4" s="3" t="n">
        <v>2</v>
      </c>
      <c r="F4" s="4" t="n">
        <v>850</v>
      </c>
      <c r="G4" s="4">
        <f>IF(AND(ISNUMBER(E4),ISNUMBER(F4)),E4*F4,"")</f>
        <v/>
      </c>
      <c r="H4" s="3" t="inlineStr">
        <is>
          <t>Planned</t>
        </is>
      </c>
      <c r="I4" s="5" t="inlineStr">
        <is>
          <t>Supplier</t>
        </is>
      </c>
      <c r="J4" s="3" t="inlineStr">
        <is>
          <t>Bottom base; Strength =&gt; Nylon &gt; Derlin &gt; HDPE &gt; PP &gt;Teflon</t>
        </is>
      </c>
    </row>
    <row r="5" ht="19" customHeight="1">
      <c r="A5" s="3" t="n">
        <v>2</v>
      </c>
      <c r="B5" s="3" t="inlineStr">
        <is>
          <t>Mechanical</t>
        </is>
      </c>
      <c r="C5" s="3" t="inlineStr">
        <is>
          <t>300x300mmx5mm sheet</t>
        </is>
      </c>
      <c r="D5" s="3" t="inlineStr">
        <is>
          <t>AL</t>
        </is>
      </c>
      <c r="E5" s="3" t="n">
        <v>2</v>
      </c>
      <c r="F5" s="4" t="n">
        <v>5999</v>
      </c>
      <c r="G5" s="4">
        <f>IF(AND(ISNUMBER(E5),ISNUMBER(F5)),E5*F5,"")</f>
        <v/>
      </c>
      <c r="H5" s="3" t="inlineStr">
        <is>
          <t>Planned</t>
        </is>
      </c>
      <c r="I5" s="5" t="inlineStr">
        <is>
          <t>Supplier</t>
        </is>
      </c>
      <c r="J5" s="3" t="inlineStr">
        <is>
          <t>Top handles</t>
        </is>
      </c>
    </row>
    <row r="6" ht="19" customHeight="1">
      <c r="A6" s="3" t="n">
        <v>3</v>
      </c>
      <c r="B6" s="3" t="inlineStr">
        <is>
          <t>Mechanical</t>
        </is>
      </c>
      <c r="C6" s="3" t="inlineStr">
        <is>
          <t>ABS Red</t>
        </is>
      </c>
      <c r="D6" s="3" t="inlineStr">
        <is>
          <t>normal</t>
        </is>
      </c>
      <c r="E6" s="3" t="n">
        <v>1</v>
      </c>
      <c r="F6" s="4" t="n">
        <v>1699</v>
      </c>
      <c r="G6" s="4">
        <f>IF(AND(ISNUMBER(E6),ISNUMBER(F6)),E6*F6,"")</f>
        <v/>
      </c>
      <c r="H6" s="3" t="inlineStr">
        <is>
          <t>Planned</t>
        </is>
      </c>
      <c r="I6" s="5" t="inlineStr">
        <is>
          <t>Supplier</t>
        </is>
      </c>
      <c r="J6" s="3" t="n"/>
    </row>
    <row r="7" ht="19" customHeight="1">
      <c r="A7" s="3" t="n">
        <v>4</v>
      </c>
      <c r="B7" s="3" t="inlineStr">
        <is>
          <t>Mechanical</t>
        </is>
      </c>
      <c r="C7" s="3" t="inlineStr">
        <is>
          <t>ABS white</t>
        </is>
      </c>
      <c r="D7" s="3" t="inlineStr">
        <is>
          <t>normal</t>
        </is>
      </c>
      <c r="E7" s="3" t="n">
        <v>1</v>
      </c>
      <c r="F7" s="4" t="n">
        <v>899</v>
      </c>
      <c r="G7" s="4">
        <f>IF(AND(ISNUMBER(E7),ISNUMBER(F7)),E7*F7,"")</f>
        <v/>
      </c>
      <c r="H7" s="3" t="inlineStr">
        <is>
          <t>Planned</t>
        </is>
      </c>
      <c r="I7" s="5" t="inlineStr">
        <is>
          <t>Supplier</t>
        </is>
      </c>
      <c r="J7" s="3" t="n"/>
    </row>
    <row r="8" ht="19" customHeight="1">
      <c r="A8" s="3" t="n">
        <v>5</v>
      </c>
      <c r="B8" s="3" t="inlineStr">
        <is>
          <t>Mechanical</t>
        </is>
      </c>
      <c r="C8" s="3" t="inlineStr">
        <is>
          <t>Black TPU</t>
        </is>
      </c>
      <c r="D8" s="3" t="inlineStr">
        <is>
          <t>TPE</t>
        </is>
      </c>
      <c r="E8" s="3" t="n">
        <v>1</v>
      </c>
      <c r="F8" s="4" t="n">
        <v>3681</v>
      </c>
      <c r="G8" s="4">
        <f>IF(AND(ISNUMBER(E8),ISNUMBER(F8)),E8*F8,"")</f>
        <v/>
      </c>
      <c r="H8" s="3" t="inlineStr">
        <is>
          <t>Planned</t>
        </is>
      </c>
      <c r="I8" s="5" t="inlineStr">
        <is>
          <t>Supplier</t>
        </is>
      </c>
      <c r="J8" s="3" t="n"/>
    </row>
    <row r="9" ht="19" customHeight="1">
      <c r="A9" s="3" t="n">
        <v>6</v>
      </c>
      <c r="B9" s="3" t="inlineStr">
        <is>
          <t>Mechanical</t>
        </is>
      </c>
      <c r="C9" s="3" t="inlineStr">
        <is>
          <t>Bushing pipe</t>
        </is>
      </c>
      <c r="D9" s="3" t="n"/>
      <c r="E9" s="3" t="n"/>
      <c r="F9" s="4" t="n"/>
      <c r="G9" s="4">
        <f>IF(AND(ISNUMBER(E9),ISNUMBER(F9)),E9*F9,"")</f>
        <v/>
      </c>
      <c r="H9" s="3" t="inlineStr">
        <is>
          <t>Planned</t>
        </is>
      </c>
      <c r="I9" s="3" t="n"/>
      <c r="J9" s="3" t="n"/>
    </row>
    <row r="10" ht="19" customHeight="1">
      <c r="A10" s="3" t="n">
        <v>7</v>
      </c>
      <c r="B10" s="3" t="inlineStr">
        <is>
          <t>Mechanical</t>
        </is>
      </c>
      <c r="C10" s="3" t="inlineStr">
        <is>
          <t>Shoulder bolts</t>
        </is>
      </c>
      <c r="D10" s="3" t="n"/>
      <c r="E10" s="3" t="n"/>
      <c r="F10" s="4" t="n"/>
      <c r="G10" s="4">
        <f>IF(AND(ISNUMBER(E10),ISNUMBER(F10)),E10*F10,"")</f>
        <v/>
      </c>
      <c r="H10" s="3" t="inlineStr">
        <is>
          <t>Planned</t>
        </is>
      </c>
      <c r="I10" s="3" t="n"/>
      <c r="J10" s="3" t="n"/>
    </row>
    <row r="11" ht="19" customHeight="1">
      <c r="A11" s="3" t="n">
        <v>8</v>
      </c>
      <c r="B11" s="3" t="inlineStr">
        <is>
          <t>Mechanical</t>
        </is>
      </c>
      <c r="C11" s="3" t="inlineStr">
        <is>
          <t>MS Rectangle pipes</t>
        </is>
      </c>
      <c r="D11" s="3" t="n"/>
      <c r="E11" s="3" t="n"/>
      <c r="F11" s="4" t="n"/>
      <c r="G11" s="4">
        <f>IF(AND(ISNUMBER(E11),ISNUMBER(F11)),E11*F11,"")</f>
        <v/>
      </c>
      <c r="H11" s="3" t="inlineStr">
        <is>
          <t>Planned</t>
        </is>
      </c>
      <c r="I11" s="3" t="n"/>
      <c r="J11" s="3" t="n"/>
    </row>
    <row r="12" ht="19" customHeight="1">
      <c r="A12" s="3" t="n">
        <v>9</v>
      </c>
      <c r="B12" s="3" t="inlineStr">
        <is>
          <t>Mechanical</t>
        </is>
      </c>
      <c r="C12" s="3" t="inlineStr">
        <is>
          <t>Other bolts and nuts</t>
        </is>
      </c>
      <c r="D12" s="3" t="n"/>
      <c r="E12" s="3" t="n"/>
      <c r="F12" s="4" t="n"/>
      <c r="G12" s="4">
        <f>IF(AND(ISNUMBER(E12),ISNUMBER(F12)),E12*F12,"")</f>
        <v/>
      </c>
      <c r="H12" s="3" t="inlineStr">
        <is>
          <t>Planned</t>
        </is>
      </c>
      <c r="I12" s="3" t="n"/>
      <c r="J12" s="3" t="n"/>
    </row>
    <row r="13" ht="29" customHeight="1">
      <c r="A13" s="3" t="n">
        <v>10</v>
      </c>
      <c r="B13" s="3" t="inlineStr">
        <is>
          <t>Mechanical</t>
        </is>
      </c>
      <c r="C13" s="3" t="inlineStr">
        <is>
          <t>300x300mmx8mm sheet</t>
        </is>
      </c>
      <c r="D13" s="3" t="inlineStr">
        <is>
          <t>Derlin</t>
        </is>
      </c>
      <c r="E13" s="3" t="n">
        <v>2</v>
      </c>
      <c r="F13" s="4" t="n">
        <v>1520</v>
      </c>
      <c r="G13" s="4">
        <f>IF(AND(ISNUMBER(E13),ISNUMBER(F13)),E13*F13,"")</f>
        <v/>
      </c>
      <c r="H13" s="6" t="inlineStr">
        <is>
          <t>Alternative</t>
        </is>
      </c>
      <c r="I13" s="5" t="inlineStr">
        <is>
          <t>Supplier</t>
        </is>
      </c>
      <c r="J13" s="3" t="inlineStr">
        <is>
          <t>Large sheets are very expensive exponentially</t>
        </is>
      </c>
    </row>
    <row r="14" ht="19" customHeight="1">
      <c r="A14" s="3" t="n">
        <v>11</v>
      </c>
      <c r="B14" s="3" t="inlineStr">
        <is>
          <t>Mechanical</t>
        </is>
      </c>
      <c r="C14" s="3" t="inlineStr">
        <is>
          <t>300x300mmx8mm sheet</t>
        </is>
      </c>
      <c r="D14" s="3" t="inlineStr">
        <is>
          <t>HDPE</t>
        </is>
      </c>
      <c r="E14" s="3" t="n">
        <v>2</v>
      </c>
      <c r="F14" s="4" t="n">
        <v>600</v>
      </c>
      <c r="G14" s="4">
        <f>IF(AND(ISNUMBER(E14),ISNUMBER(F14)),E14*F14,"")</f>
        <v/>
      </c>
      <c r="H14" s="6" t="inlineStr">
        <is>
          <t>Alternative</t>
        </is>
      </c>
      <c r="I14" s="5" t="inlineStr">
        <is>
          <t>Supplier</t>
        </is>
      </c>
      <c r="J14" s="3" t="n"/>
    </row>
    <row r="15" ht="19" customHeight="1">
      <c r="A15" s="3" t="n">
        <v>12</v>
      </c>
      <c r="B15" s="3" t="inlineStr">
        <is>
          <t>Mechanical</t>
        </is>
      </c>
      <c r="C15" s="3" t="inlineStr">
        <is>
          <t>300x300mmx8mm sheet</t>
        </is>
      </c>
      <c r="D15" s="3" t="inlineStr">
        <is>
          <t>PP</t>
        </is>
      </c>
      <c r="E15" s="3" t="n">
        <v>2</v>
      </c>
      <c r="F15" s="4" t="n">
        <v>600</v>
      </c>
      <c r="G15" s="4">
        <f>IF(AND(ISNUMBER(E15),ISNUMBER(F15)),E15*F15,"")</f>
        <v/>
      </c>
      <c r="H15" s="6" t="inlineStr">
        <is>
          <t>Alternative</t>
        </is>
      </c>
      <c r="I15" s="5" t="inlineStr">
        <is>
          <t>Supplier</t>
        </is>
      </c>
      <c r="J15" s="3" t="n"/>
    </row>
    <row r="16" ht="19" customHeight="1">
      <c r="A16" s="3" t="n">
        <v>13</v>
      </c>
      <c r="B16" s="3" t="inlineStr">
        <is>
          <t>Mechanical</t>
        </is>
      </c>
      <c r="C16" s="3" t="inlineStr">
        <is>
          <t>300x300mmx8mm sheet</t>
        </is>
      </c>
      <c r="D16" s="3" t="inlineStr">
        <is>
          <t>Teflon</t>
        </is>
      </c>
      <c r="E16" s="3" t="n">
        <v>2</v>
      </c>
      <c r="F16" s="4" t="n">
        <v>3360</v>
      </c>
      <c r="G16" s="4">
        <f>IF(AND(ISNUMBER(E16),ISNUMBER(F16)),E16*F16,"")</f>
        <v/>
      </c>
      <c r="H16" s="6" t="inlineStr">
        <is>
          <t>Alternative</t>
        </is>
      </c>
      <c r="I16" s="5" t="inlineStr">
        <is>
          <t>Supplier</t>
        </is>
      </c>
      <c r="J16" s="3" t="n"/>
    </row>
    <row r="17" ht="19" customHeight="1">
      <c r="A17" s="3" t="n">
        <v>14</v>
      </c>
      <c r="B17" s="3" t="inlineStr">
        <is>
          <t>Mechanical</t>
        </is>
      </c>
      <c r="C17" s="3" t="inlineStr">
        <is>
          <t>300x300mmx5mm sheet</t>
        </is>
      </c>
      <c r="D17" s="3" t="inlineStr">
        <is>
          <t>Nylon</t>
        </is>
      </c>
      <c r="E17" s="3" t="n">
        <v>2</v>
      </c>
      <c r="F17" s="4" t="n">
        <v>1200</v>
      </c>
      <c r="G17" s="4">
        <f>IF(AND(ISNUMBER(E17),ISNUMBER(F17)),E17*F17,"")</f>
        <v/>
      </c>
      <c r="H17" s="6" t="inlineStr">
        <is>
          <t>Alternative</t>
        </is>
      </c>
      <c r="I17" s="5" t="inlineStr">
        <is>
          <t>Supplier</t>
        </is>
      </c>
      <c r="J17" s="3" t="n"/>
    </row>
    <row r="18" ht="19" customHeight="1">
      <c r="A18" s="3" t="n">
        <v>15</v>
      </c>
      <c r="B18" s="3" t="inlineStr">
        <is>
          <t>Mechanical</t>
        </is>
      </c>
      <c r="C18" s="3" t="inlineStr">
        <is>
          <t>300x300mmx5mm sheet</t>
        </is>
      </c>
      <c r="D18" s="3" t="inlineStr">
        <is>
          <t>Derlin</t>
        </is>
      </c>
      <c r="E18" s="3" t="n">
        <v>2</v>
      </c>
      <c r="F18" s="4" t="n">
        <v>1600</v>
      </c>
      <c r="G18" s="4">
        <f>IF(AND(ISNUMBER(E18),ISNUMBER(F18)),E18*F18,"")</f>
        <v/>
      </c>
      <c r="H18" s="6" t="inlineStr">
        <is>
          <t>Alternative</t>
        </is>
      </c>
      <c r="I18" s="5" t="inlineStr">
        <is>
          <t>Supplier</t>
        </is>
      </c>
      <c r="J18" s="3" t="n"/>
    </row>
    <row r="19" ht="19" customHeight="1">
      <c r="A19" s="3" t="n">
        <v>16</v>
      </c>
      <c r="B19" s="3" t="inlineStr">
        <is>
          <t>Mechanical</t>
        </is>
      </c>
      <c r="C19" s="3" t="inlineStr">
        <is>
          <t>300x300mmx5mm sheet</t>
        </is>
      </c>
      <c r="D19" s="3" t="inlineStr">
        <is>
          <t>PP</t>
        </is>
      </c>
      <c r="E19" s="3" t="n">
        <v>2</v>
      </c>
      <c r="F19" s="4" t="n">
        <v>450</v>
      </c>
      <c r="G19" s="4">
        <f>IF(AND(ISNUMBER(E19),ISNUMBER(F19)),E19*F19,"")</f>
        <v/>
      </c>
      <c r="H19" s="6" t="inlineStr">
        <is>
          <t>Alternative</t>
        </is>
      </c>
      <c r="I19" s="5" t="inlineStr">
        <is>
          <t>Supplier</t>
        </is>
      </c>
      <c r="J19" s="3" t="n"/>
    </row>
    <row r="20" ht="19" customHeight="1">
      <c r="A20" s="3" t="n">
        <v>17</v>
      </c>
      <c r="B20" s="3" t="inlineStr">
        <is>
          <t>Mechanical</t>
        </is>
      </c>
      <c r="C20" s="3" t="inlineStr">
        <is>
          <t>300x300mmx5mm sheet</t>
        </is>
      </c>
      <c r="D20" s="3" t="inlineStr">
        <is>
          <t>Teflon</t>
        </is>
      </c>
      <c r="E20" s="3" t="n">
        <v>2</v>
      </c>
      <c r="F20" s="4" t="n">
        <v>2100</v>
      </c>
      <c r="G20" s="4">
        <f>IF(AND(ISNUMBER(E20),ISNUMBER(F20)),E20*F20,"")</f>
        <v/>
      </c>
      <c r="H20" s="6" t="inlineStr">
        <is>
          <t>Alternative</t>
        </is>
      </c>
      <c r="I20" s="5" t="inlineStr">
        <is>
          <t>Supplier</t>
        </is>
      </c>
      <c r="J20" s="3" t="n"/>
    </row>
    <row r="21" ht="19" customHeight="1">
      <c r="A21" s="3" t="n">
        <v>18</v>
      </c>
      <c r="B21" s="3" t="inlineStr">
        <is>
          <t>Mechanical</t>
        </is>
      </c>
      <c r="C21" s="3" t="inlineStr">
        <is>
          <t>300x300mmx5mm sheet</t>
        </is>
      </c>
      <c r="D21" s="3" t="inlineStr">
        <is>
          <t>cast Nylon 6mm thick</t>
        </is>
      </c>
      <c r="E21" s="3" t="n">
        <v>2</v>
      </c>
      <c r="F21" s="4" t="n">
        <v>600</v>
      </c>
      <c r="G21" s="4">
        <f>IF(AND(ISNUMBER(E21),ISNUMBER(F21)),E21*F21,"")</f>
        <v/>
      </c>
      <c r="H21" s="6" t="inlineStr">
        <is>
          <t>Alternative</t>
        </is>
      </c>
      <c r="I21" s="5" t="inlineStr">
        <is>
          <t>Supplier</t>
        </is>
      </c>
      <c r="J21" s="3" t="n"/>
    </row>
    <row r="22" ht="19" customHeight="1">
      <c r="A22" s="3" t="n">
        <v>19</v>
      </c>
      <c r="B22" s="3" t="inlineStr">
        <is>
          <t>Mechanical</t>
        </is>
      </c>
      <c r="C22" s="3" t="inlineStr">
        <is>
          <t>PLA Red</t>
        </is>
      </c>
      <c r="D22" s="3" t="inlineStr">
        <is>
          <t>normal</t>
        </is>
      </c>
      <c r="E22" s="3" t="n">
        <v>1</v>
      </c>
      <c r="F22" s="4" t="n">
        <v>899</v>
      </c>
      <c r="G22" s="4">
        <f>IF(AND(ISNUMBER(E22),ISNUMBER(F22)),E22*F22,"")</f>
        <v/>
      </c>
      <c r="H22" s="6" t="inlineStr">
        <is>
          <t>Alternative</t>
        </is>
      </c>
      <c r="I22" s="5" t="inlineStr">
        <is>
          <t>Supplier</t>
        </is>
      </c>
      <c r="J22" s="3" t="n"/>
    </row>
    <row r="23" ht="19" customHeight="1">
      <c r="A23" s="3" t="n">
        <v>20</v>
      </c>
      <c r="B23" s="3" t="inlineStr">
        <is>
          <t>Mechanical</t>
        </is>
      </c>
      <c r="C23" s="3" t="inlineStr">
        <is>
          <t>PLA Red</t>
        </is>
      </c>
      <c r="D23" s="3" t="inlineStr">
        <is>
          <t>Glossy/silk</t>
        </is>
      </c>
      <c r="E23" s="3" t="n">
        <v>1</v>
      </c>
      <c r="F23" s="4" t="n">
        <v>1499</v>
      </c>
      <c r="G23" s="4">
        <f>IF(AND(ISNUMBER(E23),ISNUMBER(F23)),E23*F23,"")</f>
        <v/>
      </c>
      <c r="H23" s="6" t="inlineStr">
        <is>
          <t>Alternative</t>
        </is>
      </c>
      <c r="I23" s="5" t="inlineStr">
        <is>
          <t>Supplier</t>
        </is>
      </c>
      <c r="J23" s="3" t="n"/>
    </row>
    <row r="24" ht="19" customHeight="1">
      <c r="A24" s="3" t="n">
        <v>21</v>
      </c>
      <c r="B24" s="3" t="inlineStr">
        <is>
          <t>Mechanical</t>
        </is>
      </c>
      <c r="C24" s="3" t="inlineStr">
        <is>
          <t>PLA white</t>
        </is>
      </c>
      <c r="D24" s="3" t="inlineStr">
        <is>
          <t>normal</t>
        </is>
      </c>
      <c r="E24" s="3" t="n">
        <v>1</v>
      </c>
      <c r="F24" s="4" t="n">
        <v>849</v>
      </c>
      <c r="G24" s="4">
        <f>IF(AND(ISNUMBER(E24),ISNUMBER(F24)),E24*F24,"")</f>
        <v/>
      </c>
      <c r="H24" s="6" t="inlineStr">
        <is>
          <t>Alternative</t>
        </is>
      </c>
      <c r="I24" s="5" t="inlineStr">
        <is>
          <t>Supplier</t>
        </is>
      </c>
      <c r="J24" s="3" t="n"/>
    </row>
    <row r="25" ht="19" customHeight="1">
      <c r="A25" s="3" t="n">
        <v>22</v>
      </c>
      <c r="B25" s="3" t="inlineStr">
        <is>
          <t>Mechanical</t>
        </is>
      </c>
      <c r="C25" s="3" t="inlineStr">
        <is>
          <t>PLA white</t>
        </is>
      </c>
      <c r="D25" s="3" t="inlineStr">
        <is>
          <t>Glossy/silk</t>
        </is>
      </c>
      <c r="E25" s="3" t="n">
        <v>1</v>
      </c>
      <c r="F25" s="4" t="n">
        <v>1659</v>
      </c>
      <c r="G25" s="4">
        <f>IF(AND(ISNUMBER(E25),ISNUMBER(F25)),E25*F25,"")</f>
        <v/>
      </c>
      <c r="H25" s="6" t="inlineStr">
        <is>
          <t>Alternative</t>
        </is>
      </c>
      <c r="I25" s="5" t="inlineStr">
        <is>
          <t>Supplier</t>
        </is>
      </c>
      <c r="J25" s="3" t="n"/>
    </row>
    <row r="26" ht="19" customHeight="1">
      <c r="A26" s="3" t="n">
        <v>23</v>
      </c>
      <c r="B26" s="3" t="inlineStr">
        <is>
          <t>Mechanical</t>
        </is>
      </c>
      <c r="C26" s="3" t="inlineStr">
        <is>
          <t>Black TPU</t>
        </is>
      </c>
      <c r="D26" s="3" t="inlineStr">
        <is>
          <t>TPU</t>
        </is>
      </c>
      <c r="E26" s="3" t="n">
        <v>1</v>
      </c>
      <c r="F26" s="4" t="n">
        <v>1960</v>
      </c>
      <c r="G26" s="4">
        <f>IF(AND(ISNUMBER(E26),ISNUMBER(F26)),E26*F26,"")</f>
        <v/>
      </c>
      <c r="H26" s="6" t="inlineStr">
        <is>
          <t>Alternative</t>
        </is>
      </c>
      <c r="I26" s="5" t="inlineStr">
        <is>
          <t>Supplier</t>
        </is>
      </c>
      <c r="J26" s="3" t="n"/>
    </row>
    <row r="27" ht="19" customHeight="1">
      <c r="A27" s="3" t="n">
        <v>24</v>
      </c>
      <c r="B27" s="3" t="inlineStr">
        <is>
          <t>Electronics</t>
        </is>
      </c>
      <c r="C27" s="3" t="inlineStr">
        <is>
          <t>Linear Encoders</t>
        </is>
      </c>
      <c r="D27" s="3" t="inlineStr">
        <is>
          <t>Linear position sensing</t>
        </is>
      </c>
      <c r="E27" s="3" t="n">
        <v>6</v>
      </c>
      <c r="F27" s="4" t="n"/>
      <c r="G27" s="4">
        <f>IF(AND(ISNUMBER(E27),ISNUMBER(F27)),E27*F27,"")</f>
        <v/>
      </c>
      <c r="H27" s="3" t="inlineStr">
        <is>
          <t>Planned</t>
        </is>
      </c>
      <c r="I27" s="3" t="n"/>
      <c r="J27" s="3" t="n"/>
    </row>
    <row r="28" ht="19" customHeight="1">
      <c r="A28" s="3" t="n">
        <v>25</v>
      </c>
      <c r="B28" s="3" t="inlineStr">
        <is>
          <t>Electronics</t>
        </is>
      </c>
      <c r="C28" s="3" t="inlineStr">
        <is>
          <t>STM32 Microcontroller Board</t>
        </is>
      </c>
      <c r="D28" s="3" t="n"/>
      <c r="E28" s="3" t="n"/>
      <c r="F28" s="4" t="n"/>
      <c r="G28" s="4">
        <f>IF(AND(ISNUMBER(E28),ISNUMBER(F28)),E28*F28,"")</f>
        <v/>
      </c>
      <c r="H28" s="3" t="inlineStr">
        <is>
          <t>Planned</t>
        </is>
      </c>
      <c r="I28" s="3" t="n"/>
      <c r="J28" s="3" t="n"/>
    </row>
    <row r="29" ht="19" customHeight="1">
      <c r="A29" s="3" t="n">
        <v>26</v>
      </c>
      <c r="B29" s="3" t="inlineStr">
        <is>
          <t>Electronics</t>
        </is>
      </c>
      <c r="C29" s="3" t="inlineStr">
        <is>
          <t>Cooling Fan</t>
        </is>
      </c>
      <c r="D29" s="3" t="n"/>
      <c r="E29" s="3" t="n"/>
      <c r="F29" s="4" t="n"/>
      <c r="G29" s="4">
        <f>IF(AND(ISNUMBER(E29),ISNUMBER(F29)),E29*F29,"")</f>
        <v/>
      </c>
      <c r="H29" s="3" t="inlineStr">
        <is>
          <t>Planned</t>
        </is>
      </c>
      <c r="I29" s="3" t="n"/>
      <c r="J29" s="3" t="n"/>
    </row>
    <row r="30" ht="19" customHeight="1">
      <c r="A30" s="3" t="n">
        <v>27</v>
      </c>
      <c r="B30" s="3" t="inlineStr">
        <is>
          <t>Electronics</t>
        </is>
      </c>
      <c r="C30" s="3" t="inlineStr">
        <is>
          <t>Encoder Feedback</t>
        </is>
      </c>
      <c r="D30" s="3" t="n"/>
      <c r="E30" s="3" t="n"/>
      <c r="F30" s="4" t="n"/>
      <c r="G30" s="4">
        <f>IF(AND(ISNUMBER(E30),ISNUMBER(F30)),E30*F30,"")</f>
        <v/>
      </c>
      <c r="H30" s="3" t="inlineStr">
        <is>
          <t>Planned</t>
        </is>
      </c>
      <c r="I30" s="3" t="n"/>
      <c r="J30" s="3" t="n"/>
    </row>
    <row r="31" ht="19" customHeight="1">
      <c r="A31" s="3" t="n">
        <v>28</v>
      </c>
      <c r="B31" s="3" t="inlineStr">
        <is>
          <t>Electronics</t>
        </is>
      </c>
      <c r="C31" s="3" t="inlineStr">
        <is>
          <t>Industrial Connectors</t>
        </is>
      </c>
      <c r="D31" s="3" t="n"/>
      <c r="E31" s="3" t="n"/>
      <c r="F31" s="4" t="n"/>
      <c r="G31" s="4">
        <f>IF(AND(ISNUMBER(E31),ISNUMBER(F31)),E31*F31,"")</f>
        <v/>
      </c>
      <c r="H31" s="3" t="inlineStr">
        <is>
          <t>Planned</t>
        </is>
      </c>
      <c r="I31" s="3" t="n"/>
      <c r="J31" s="3" t="n"/>
    </row>
    <row r="32" ht="19" customHeight="1">
      <c r="A32" s="3" t="n">
        <v>29</v>
      </c>
      <c r="B32" s="3" t="inlineStr">
        <is>
          <t>Electronics</t>
        </is>
      </c>
      <c r="C32" s="3" t="inlineStr">
        <is>
          <t>Motor Driver Modules</t>
        </is>
      </c>
      <c r="D32" s="3" t="n"/>
      <c r="E32" s="3" t="n">
        <v>6</v>
      </c>
      <c r="F32" s="4" t="n"/>
      <c r="G32" s="4">
        <f>IF(AND(ISNUMBER(E32),ISNUMBER(F32)),E32*F32,"")</f>
        <v/>
      </c>
      <c r="H32" s="3" t="inlineStr">
        <is>
          <t>Planned</t>
        </is>
      </c>
      <c r="I32" s="3" t="n"/>
      <c r="J32" s="3" t="n"/>
    </row>
    <row r="33" ht="19" customHeight="1">
      <c r="A33" s="3" t="n">
        <v>30</v>
      </c>
      <c r="B33" s="3" t="inlineStr">
        <is>
          <t>Electronics</t>
        </is>
      </c>
      <c r="C33" s="3" t="inlineStr">
        <is>
          <t>Custom Interface PCB</t>
        </is>
      </c>
      <c r="D33" s="3" t="n"/>
      <c r="E33" s="3" t="n"/>
      <c r="F33" s="4" t="n"/>
      <c r="G33" s="4">
        <f>IF(AND(ISNUMBER(E33),ISNUMBER(F33)),E33*F33,"")</f>
        <v/>
      </c>
      <c r="H33" s="3" t="inlineStr">
        <is>
          <t>Planned</t>
        </is>
      </c>
      <c r="I33" s="3" t="n"/>
      <c r="J33" s="3" t="n"/>
    </row>
    <row r="34" ht="19" customHeight="1">
      <c r="A34" s="3" t="n">
        <v>31</v>
      </c>
      <c r="B34" s="3" t="inlineStr">
        <is>
          <t>Electronics</t>
        </is>
      </c>
      <c r="C34" s="3" t="inlineStr">
        <is>
          <t>DC Switching Power Supply</t>
        </is>
      </c>
      <c r="D34" s="3" t="inlineStr">
        <is>
          <t>24 V DC</t>
        </is>
      </c>
      <c r="E34" s="3" t="n"/>
      <c r="F34" s="4" t="n"/>
      <c r="G34" s="4">
        <f>IF(AND(ISNUMBER(E34),ISNUMBER(F34)),E34*F34,"")</f>
        <v/>
      </c>
      <c r="H34" s="3" t="inlineStr">
        <is>
          <t>Planned</t>
        </is>
      </c>
      <c r="I34" s="3" t="n"/>
      <c r="J34" s="3" t="n"/>
    </row>
    <row r="35" ht="19" customHeight="1">
      <c r="A35" s="3" t="n">
        <v>32</v>
      </c>
      <c r="B35" s="3" t="inlineStr">
        <is>
          <t>Electronics</t>
        </is>
      </c>
      <c r="C35" s="3" t="inlineStr">
        <is>
          <t>Terminal Blocks and Connectors</t>
        </is>
      </c>
      <c r="D35" s="3" t="n"/>
      <c r="E35" s="3" t="n"/>
      <c r="F35" s="4" t="n"/>
      <c r="G35" s="4">
        <f>IF(AND(ISNUMBER(E35),ISNUMBER(F35)),E35*F35,"")</f>
        <v/>
      </c>
      <c r="H35" s="3" t="inlineStr">
        <is>
          <t>Planned</t>
        </is>
      </c>
      <c r="I35" s="3" t="n"/>
      <c r="J35" s="3" t="n"/>
    </row>
    <row r="37" ht="30" customHeight="1">
      <c r="A37" s="7" t="inlineStr">
        <is>
          <t>Known planned subtotal (alternatives excluded)</t>
        </is>
      </c>
      <c r="B37" s="7" t="n"/>
      <c r="C37" s="7" t="n"/>
      <c r="D37" s="7" t="n"/>
      <c r="E37" s="7" t="n"/>
      <c r="F37" s="7" t="n"/>
      <c r="G37" s="8">
        <f>SUMIF(H4:H35,"Planned",G4:G35)</f>
        <v/>
      </c>
      <c r="H37" s="7" t="inlineStr">
        <is>
          <t>Partial subtotal; unpriced items remain to be confirmed.</t>
        </is>
      </c>
      <c r="I37" s="7" t="n"/>
      <c r="J37" s="7" t="n"/>
    </row>
    <row r="38" ht="27" customHeight="1">
      <c r="A38" s="9" t="inlineStr">
        <is>
          <t>Existing quantities, costs and supplier links retained. Alternative rows are options for comparison, not additional purchases. Unspecified quantities and electronic-component prices remain blank.</t>
        </is>
      </c>
    </row>
  </sheetData>
  <mergeCells count="4">
    <mergeCell ref="A1:J1"/>
    <mergeCell ref="A37:F37"/>
    <mergeCell ref="A38:J38"/>
    <mergeCell ref="H37:J37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</hyperlinks>
  <printOptions horizontalCentered="1"/>
  <pageMargins left="0.2" right="0.2" top="0.25" bottom="0.25" header="0.5" footer="0.5"/>
  <pageSetup orientation="landscape" paperSize="8" fitToHeight="1" fitToWidth="1"/>
  <headerFooter>
    <oddHeader/>
    <oddFooter>&amp;C&amp;8 Stewart Joystick - Complete BOM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Shobit Verma</dc:creator>
  <dc:title>Stewart Joystick - Complete Bill of Materials</dc:title>
  <dcterms:created xsi:type="dcterms:W3CDTF">2026-10-11T01:01:17Z</dcterms:created>
  <dcterms:modified xsi:type="dcterms:W3CDTF">2026-10-11T01:01:17Z</dcterms:modified>
</cp:coreProperties>
</file>